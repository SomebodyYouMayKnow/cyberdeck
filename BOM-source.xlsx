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>
    <definedName hidden="1" localSheetId="0" name="_xlnm._FilterDatabase">BOM!$A$10:$H$36</definedName>
  </definedNames>
  <calcPr/>
</workbook>
</file>

<file path=xl/sharedStrings.xml><?xml version="1.0" encoding="utf-8"?>
<sst xmlns="http://schemas.openxmlformats.org/spreadsheetml/2006/main" count="160" uniqueCount="108">
  <si>
    <t>ESP32 + SE3 PROJECT BOM</t>
  </si>
  <si>
    <t>USD. Existing prices: 2026-09-28; hardware, capacitor options and fingerprint: 2026-09-30. Tax/shipping excluded.</t>
  </si>
  <si>
    <t>Selected hardware</t>
  </si>
  <si>
    <t>Includes SE3, dual radios, 5 GHz Wi-Fi, display, keyboard, battery, IR, mounting kits and fingerprint reader.</t>
  </si>
  <si>
    <t>Accessories if needed</t>
  </si>
  <si>
    <t>SE3 replaces PN532 / PN532Killer in this build.</t>
  </si>
  <si>
    <t>Selected + if-needed accessories</t>
  </si>
  <si>
    <t>Owned boards remain $0. Source links are references, not additional purchases.</t>
  </si>
  <si>
    <t>Optional extras</t>
  </si>
  <si>
    <t>Qty uses the listed purchase unit; capacitor options are per part. Included kit parts are $0.</t>
  </si>
  <si>
    <t>All listed new parts</t>
  </si>
  <si>
    <t>Door-fob technology is unknown; compatibility must be checked.</t>
  </si>
  <si>
    <t>Part / purchase unit</t>
  </si>
  <si>
    <t>Qty</t>
  </si>
  <si>
    <t>Status</t>
  </si>
  <si>
    <t>Unit USD</t>
  </si>
  <si>
    <t>Line USD</t>
  </si>
  <si>
    <t>Price basis</t>
  </si>
  <si>
    <t>Role / compatibility notes</t>
  </si>
  <si>
    <t>Source</t>
  </si>
  <si>
    <t>Chameleon Ultra SE3</t>
  </si>
  <si>
    <t>Selected</t>
  </si>
  <si>
    <t>Listed 2026-09-28</t>
  </si>
  <si>
    <t>125 kHz LF + 13.56 MHz HF; ESP32 control over BLE. Built-in antennas, battery and case.</t>
  </si>
  <si>
    <t>ATNSINC radio kit: 2 radios + antennas + adapters</t>
  </si>
  <si>
    <t>One kit contains 2 nRF24L01+ PA/LNA radios, 2 SMA 2.4 GHz antennas and 2 regulator adapters. Amazon seller: Atnsinc. These are not full Bluetooth adapters.</t>
  </si>
  <si>
    <t>Regulated 3.3 V nRF24 adapter</t>
  </si>
  <si>
    <t>Included in row 12</t>
  </si>
  <si>
    <t>Two 3.3 V regulator adapters supplied in the ATNSINC radio kit. No separate purchase. Verify current capacity before integration.</t>
  </si>
  <si>
    <t>Required PCB capacitors (from ELEGOO kit)</t>
  </si>
  <si>
    <t>Included in row 15</t>
  </si>
  <si>
    <t>Use 4 x 100 nF (C1/C2/C5/C7) and 4 x 10 uF (C3/C4/C6/C8). Kit includes 10 and 5 respectively; measure lead pitch/body before soldering. No 100 uF required. Matched replacements in rows 32-33 only if needed.</t>
  </si>
  <si>
    <t>ELEGOO 235-piece breadboard + component kit</t>
  </si>
  <si>
    <t>One kit with solderless breadboard, jumper/Dupont wires, capacitors and assorted parts. Sold by ELEGOO Official US on Amazon.</t>
  </si>
  <si>
    <t>ALFA AWUS036ACS USB Wi-Fi adapter + antenna</t>
  </si>
  <si>
    <t>2.4 + 5 GHz Wi-Fi; detachable antenna included. RTL8811AU Linux monitor mode with compatible driver. Connect to Pi via micro-USB OTG.</t>
  </si>
  <si>
    <t>LILYGO T-Display-S3 AMOLED</t>
  </si>
  <si>
    <t>Owned</t>
  </si>
  <si>
    <t>Already owned</t>
  </si>
  <si>
    <t>Built-in BLE + 2.4 GHz Wi-Fi, display and buttons. No separate BLE module needed; verify pin mapping.</t>
  </si>
  <si>
    <t>Raspberry Pi Zero 2 (variant to confirm)</t>
  </si>
  <si>
    <t>Owned Linux host for display and USB Wi-Fi. Seller link is a Zero 2 W reference; confirm your exact variant. Additional cost remains $0.</t>
  </si>
  <si>
    <t>USB-C data / power cable</t>
  </si>
  <si>
    <t>If needed</t>
  </si>
  <si>
    <t>Adafruit 4474 USB-A to USB-C, 1 m, data and power. Buy up to 2 only if existing or included cables do not cover programming and charging.</t>
  </si>
  <si>
    <t>Timeskey NTAG215 adhesive tags - 20-pack</t>
  </si>
  <si>
    <t>Optional</t>
  </si>
  <si>
    <t>One pack of 20 white 25 mm adhesive tags. NTAG215, 504 bytes. Sold by TimesKey-US on Amazon. Ordinary NFC writing tests; avoid metal surfaces.</t>
  </si>
  <si>
    <t>ETEKJOY T5577 blank LF fobs - 10-pack</t>
  </si>
  <si>
    <t>One pack of 10 blue blank writable 125 kHz T5577 fobs. Sold by ETEKJOY. For compatible LF formats; these are not 13.56 MHz NFC tags.</t>
  </si>
  <si>
    <t>Gialer Classic 1K-compatible cards - 10-pack</t>
  </si>
  <si>
    <t>One pack of 10 Fudan FM11RF08 cards, sold by smacarte. Classic 1K-compatible 13.56 MHz test cards, not NXP-branded. Standard UID is not freely rewritable.</t>
  </si>
  <si>
    <t>Waveshare 3.5-inch HDMI LCD (SKU 12824)</t>
  </si>
  <si>
    <t>Larger main screen on Pi; 480x320 candidate. HDMI video, SPI touch. Verify GPIO/power and driver compatibility before purchase.</t>
  </si>
  <si>
    <t>M5Stack CardKB v1.1 mini keyboard</t>
  </si>
  <si>
    <t>50-key QWERTY, 88 x 54 x 5 mm. I2C interface; Grove cable included. Needs wiring/logic-level check and ESP32/Pi input software; not USB plug-and-play.</t>
  </si>
  <si>
    <t>Display + Pi power cables (details below)</t>
  </si>
  <si>
    <t>2 items; see rows 45-46</t>
  </si>
  <si>
    <t>One mini-HDMI cable plus one micro-USB power cable. GPIO header comes in row 29 kit. Reuse owned cables where possible.</t>
  </si>
  <si>
    <t>Seller links - rows 45-46</t>
  </si>
  <si>
    <t>Miady 10,000 mAh power banks — 2-pack</t>
  </si>
  <si>
    <t>1 pack = 2 x 10,000 mAh (37 Wh each). Per bank: 2 USB-A + 1 USB-C outputs. 2 USB-C cables included. Shared current limit, auto-shutoff and full-build runtime to verify.</t>
  </si>
  <si>
    <t>SanDisk Ultra 32 GB microSDHC card</t>
  </si>
  <si>
    <t>One new 32 GB A1/Class 10 card. Amazon seller: eKings, fulfilled by Amazon. Optional if you already have a suitable card; OS installation required.</t>
  </si>
  <si>
    <t>Adafruit 5 V 2.5 A micro-USB power supply</t>
  </si>
  <si>
    <t>Adafruit 1995, US plug and attached micro-USB cable. Optional bench supply. Battery remains the portable power source.</t>
  </si>
  <si>
    <t>Pi Zero adapter kit: OTG + GPIO header</t>
  </si>
  <si>
    <t>PiShop K2B-1306: micro-USB OTG cable, 2x20 male GPIO header and mini-HDMI adapter. Header may need soldering. No extra OTG or header purchase needed.</t>
  </si>
  <si>
    <t>ABS enclosure (candidate)</t>
  </si>
  <si>
    <t>1 item; see row 47</t>
  </si>
  <si>
    <t>One 200 x 120 x 75 mm box. Fit and cutouts are not finalized. M2.5 hardware is separately selected in row 34.</t>
  </si>
  <si>
    <t>Seller link - row 47</t>
  </si>
  <si>
    <t>EEEEE M3 brass standoff kit - 208 pieces</t>
  </si>
  <si>
    <t>Listed 2026-09-30</t>
  </si>
  <si>
    <t>M3 fits carrier/frame 3.2 mm holes; not Pi (M2.5). 6/10/15/20 mm lengths. Heights and head/hex fit within 6 mm reserve need checking. Brass conducts.</t>
  </si>
  <si>
    <t>100 nF radial X7R - KEMET C315C104K5R5TA</t>
  </si>
  <si>
    <t>DigiKey 2026-09-30</t>
  </si>
  <si>
    <t>C1/C2/C5/C7: 100 nF, 50 V, 2.54 mm pitch, 3.81 x 2.54 mm max body. Buy only if ELEGOO capacitors do not fit; kit has 10.</t>
  </si>
  <si>
    <t>10 uF radial - Panasonic EEA-GA1V100</t>
  </si>
  <si>
    <t>C3/C4/C6/C8: 35 V, 105 C, 2 mm pitch; allow 5.5 mm dia x 8 mm height. + to pad 1; stripe to GND pad 2. Only if kit parts do not fit (5 included).</t>
  </si>
  <si>
    <t>AvrestYPT M2.5 nylon standoff kit - 365 pieces</t>
  </si>
  <si>
    <t>For Pi/HAT 2.75 mm mounting holes. M2.5 nylon spacers, screws and nuts. Choose height after checking headers, USB sockets and case clearance; separate from M3 carrier hardware.</t>
  </si>
  <si>
    <t>M5Stack Fingerprint 2 Unit (U203, A-K323CP)</t>
  </si>
  <si>
    <t>5 V power, about 40 mA active; 3.3 V UART at 115200 8N1. 100 fingerprints; 20 cm Grove cable included. Custom wiring, mounting and unlock firmware pending.</t>
  </si>
  <si>
    <t>Adafruit IR Remote Transceiver (5990)</t>
  </si>
  <si>
    <t>38 kHz receiver + 940 nm emitters and onboard driver. 3.3 V, GND, RX and TX: two ESP32 GPIOs; not I2C. Check supply peak current. Use existing jumper wires.</t>
  </si>
  <si>
    <t>BUILD NOTES</t>
  </si>
  <si>
    <t>Control link</t>
  </si>
  <si>
    <t>ESP32 ↔ SE3 over BLE; dual nRF24 modules use SPI. Firmware and pin mapping still need integration.</t>
  </si>
  <si>
    <t>Emulation scope</t>
  </si>
  <si>
    <t>Supported card types only; encrypted credentials may require keys. A frequency match alone is insufficient.</t>
  </si>
  <si>
    <t>Firmware reference</t>
  </si>
  <si>
    <t>ESP32 board reference</t>
  </si>
  <si>
    <t>Editing</t>
  </si>
  <si>
    <t>Change quantities and unit prices to update totals. Status values: Owned, Selected, If needed, Optional.</t>
  </si>
  <si>
    <t>Details below are included in rows 25, 30 and 34, not additional purchases.</t>
  </si>
  <si>
    <t>Included in</t>
  </si>
  <si>
    <t>Mini-HDMI to HDMI cable - 1.5 m</t>
  </si>
  <si>
    <t>In row 25</t>
  </si>
  <si>
    <t>Adafruit 2775. Bench cable; final enclosure may need a shorter cable.</t>
  </si>
  <si>
    <t>USB-A to micro-USB cable - 6 inches</t>
  </si>
  <si>
    <t>Adafruit 898. Pi power cable; verify voltage drop under full load.</t>
  </si>
  <si>
    <t>Raculety ABS box - 200 x 120 x 75 mm</t>
  </si>
  <si>
    <t>In row 30</t>
  </si>
  <si>
    <t>Sale 2026-09-28</t>
  </si>
  <si>
    <t>One box plus 4 cable glands. Seller: Raculety. Candidate only; custom cutouts and full-build fit require checking. Sale may expire.</t>
  </si>
  <si>
    <t>In row 34</t>
  </si>
  <si>
    <t>M2.5 nylon screws, nuts and spacers for the Pi 2.75 mm holes; counted in row 34 only. Choose spacer height after measuring Pi/HAT headers, connectors and case.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</si>
</sst>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1"/>
      <color rgb="FF000000"/>
      <name val="Arial"/>
      <scheme val="minor"/>
    </font>
    <font>
      <u val="single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FE2F3"/>
      </patternFill>
    </fill>
    <fill>
      <patternFill patternType="solid">
        <fgColor rgb="FFD9EAD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2" fontId="3" numFmtId="0" xfId="0" applyAlignment="1" applyFill="1" applyFont="1">
      <alignment readingOrder="0"/>
    </xf>
    <xf borderId="0" fillId="2" fontId="3" numFmtId="164" xfId="0" applyFill="1" applyFont="1" applyNumberFormat="1"/>
    <xf borderId="0" fillId="3" fontId="3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Font="1"/>
    <xf borderId="0" fillId="0" fontId="3" numFmtId="0" xfId="0" applyAlignment="1" applyFont="1">
      <alignment readingOrder="0" shrinkToFit="0" wrapText="1"/>
    </xf>
    <xf numFmtId="0" fontId="7" fillId="0" borderId="0" xfId="0" applyNumberFormat="1" applyFont="1" applyFill="1" applyBorder="1" applyAlignment="1">
      <alignment vertical="center" wrapText="0"/>
    </xf>
    <xf numFmtId="0" fontId="3" fillId="4" borderId="0" xfId="0" applyFont="1" applyFill="1" applyAlignment="1">
      <alignment wrapText="1" shrinkToFit="0"/>
    </xf>
    <xf numFmtId="0" fontId="2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164" fontId="2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 applyAlignment="1">
      <alignment wrapText="1" shrinkToFit="0"/>
    </xf>
    <xf numFmtId="0" fontId="2" fillId="0" borderId="0" xfId="0" applyNumberFormat="1" applyFont="1" applyFill="1" applyBorder="1" applyAlignment="1">
      <alignment wrapText="1"/>
    </xf>
    <xf numFmtId="164" fontId="3" fillId="0" borderId="0" xfId="0" applyNumberFormat="1" applyFont="1"/>
    <xf numFmtId="164" fontId="3" fillId="5" borderId="0" xfId="0" applyNumberFormat="1" applyFont="1" applyFill="1"/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75"/>
  <cols>
    <col customWidth="1" min="1" max="1" width="42.63"/>
    <col customWidth="1" min="7" max="7" width="52.63"/>
    <col customWidth="1" min="8" max="8" width="25.13"/>
  </cols>
  <sheetData>
    <row r="1">
      <c r="A1" s="1" t="s">
        <v>0</v>
      </c>
    </row>
    <row r="2">
      <c r="A2" s="22" t="str">
        <v>USD. Existing prices: Sep 28/30, 2026; new modules/cable/knob: Oct 2, 2026. Tax/shipping excluded; TBD costs remain.</v>
      </c>
    </row>
    <row r="4" ht="28" customHeight="1">
      <c r="A4" s="3" t="str">
        <v>Priced selected hardware</v>
      </c>
      <c r="B4" s="26" t="n">
        <f>SUMIF(C11:C36,"Selected",E11:E36)+SUMIF(C52:C53,"Selected",E52:E53)+SUMIF(C57:C69,"Selected",E57:E69)</f>
        <v>188.59000000000003</v>
      </c>
      <c r="G4" s="25" t="str">
        <v>Includes assembled peripheral regulator, level shifter and encoder. Priced subtotal only; required unpriced items remain below.</v>
      </c>
    </row>
    <row r="5">
      <c r="A5" s="3" t="str">
        <v>Priced if-needed accessories</v>
      </c>
      <c r="B5" s="26" t="n">
        <f>SUMIF(C11:C36,"If needed",E11:E36)+SUMIF(C52:C53,"If needed",E52:E53)+SUMIF(C57:C69,"If needed",E57:E69)</f>
        <v>30.27</v>
      </c>
      <c r="G5" s="2" t="s">
        <v>5</v>
      </c>
    </row>
    <row r="6" ht="42" customHeight="1">
      <c r="A6" s="5" t="str">
        <v>Priced selected + if-needed</v>
      </c>
      <c r="B6" s="27" t="n">
        <f>B4+B5</f>
        <v>218.86000000000004</v>
      </c>
      <c r="G6" s="25" t="str">
        <v>Incomplete budget: excludes TBD axial resistors, headers/harness, inline USB switch, peripheral wiring, insulating hardware, LCD lead and Pi-to-HAT data cable. Owned HAT adds no purchase cost.</v>
      </c>
    </row>
    <row r="7" ht="28" customHeight="1">
      <c r="A7" s="3" t="str">
        <v>Priced optional extras</v>
      </c>
      <c r="B7" s="26" t="n">
        <f>SUMIF(C11:C36,"Optional",E11:E36)+SUMIF(C52:C53,"Optional",E52:E53)+SUMIF(C57:C69,"Optional",E57:E69)</f>
        <v>69.48</v>
      </c>
      <c r="G7" s="25" t="str">
        <v>Qty is the listed purchase unit. Optional knob is separate; included kit components are $0. Unpriced optional wiring is excluded.</v>
      </c>
    </row>
    <row r="8">
      <c r="A8" s="3" t="str">
        <v>Priced total of listed parts</v>
      </c>
      <c r="B8" s="26" t="n">
        <f>B6+B7</f>
        <v>288.34000000000003</v>
      </c>
      <c r="G8" s="2" t="s">
        <v>11</v>
      </c>
    </row>
    <row r="10">
      <c r="A10" s="7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7" t="s">
        <v>19</v>
      </c>
    </row>
    <row r="11">
      <c r="A11" s="8" t="s">
        <v>20</v>
      </c>
      <c r="B11" s="9">
        <v>1.0</v>
      </c>
      <c r="C11" s="8" t="s">
        <v>21</v>
      </c>
      <c r="D11" s="10">
        <v>39.99</v>
      </c>
      <c r="E11" s="11">
        <f t="shared" ref="E11:E36" si="1">B11*D11</f>
        <v>39.99</v>
      </c>
      <c r="F11" s="8" t="s">
        <v>22</v>
      </c>
      <c r="G11" s="8" t="s">
        <v>23</v>
      </c>
      <c r="H11" s="12" t="str">
        <f>HYPERLINK("https://shop.mtoolstec.com/product/chameleon-ultra-se3","MTools Tec — SE3")</f>
        <v>MTools Tec — SE3</v>
      </c>
    </row>
    <row r="12">
      <c r="A12" s="8" t="s">
        <v>24</v>
      </c>
      <c r="B12" s="9">
        <v>1.0</v>
      </c>
      <c r="C12" s="8" t="s">
        <v>21</v>
      </c>
      <c r="D12" s="10">
        <v>9.99</v>
      </c>
      <c r="E12" s="11">
        <f t="shared" si="1"/>
        <v>9.99</v>
      </c>
      <c r="F12" s="8" t="s">
        <v>22</v>
      </c>
      <c r="G12" s="8" t="s">
        <v>25</v>
      </c>
      <c r="H12" s="13" t="str">
        <f>HYPERLINK("https://www.amazon.com/dp/B08R9F11D1","Amazon - Atnsinc radio kit")</f>
        <v>Amazon - Atnsinc radio kit</v>
      </c>
    </row>
    <row r="13" ht="78" customHeight="1">
      <c r="A13" s="8" t="s">
        <v>26</v>
      </c>
      <c r="B13" s="9">
        <v>2.0</v>
      </c>
      <c r="C13" s="8" t="s">
        <v>21</v>
      </c>
      <c r="D13" s="10">
        <v>0.0</v>
      </c>
      <c r="E13" s="11">
        <f t="shared" si="1"/>
        <v>0</v>
      </c>
      <c r="F13" s="8" t="s">
        <v>27</v>
      </c>
      <c r="G13" s="24" t="str">
        <v>Included radio regulator adapters are spare kit parts. Radios use the external Pololu-regulated 3V3_AUX rail in this design; do not parallel regulator outputs. No additional adapter purchase.</v>
      </c>
      <c r="H13" s="13" t="str">
        <f>HYPERLINK("https://www.amazon.com/dp/B08R9F11D1","Included - ATNSINC kit")</f>
        <v>Included - ATNSINC kit</v>
      </c>
    </row>
    <row r="14">
      <c r="A14" s="8" t="s">
        <v>29</v>
      </c>
      <c r="B14" s="9">
        <v>1.0</v>
      </c>
      <c r="C14" s="8" t="s">
        <v>21</v>
      </c>
      <c r="D14" s="10">
        <v>0.0</v>
      </c>
      <c r="E14" s="11">
        <f t="shared" si="1"/>
        <v>0</v>
      </c>
      <c r="F14" s="8" t="s">
        <v>30</v>
      </c>
      <c r="G14" s="8" t="s">
        <v>31</v>
      </c>
      <c r="H14" s="13" t="str">
        <f>HYPERLINK("https://www.amazon.com/dp/B01ERP6WL4","Included - ELEGOO kit")</f>
        <v>Included - ELEGOO kit</v>
      </c>
    </row>
    <row r="15">
      <c r="A15" s="8" t="s">
        <v>32</v>
      </c>
      <c r="B15" s="9">
        <v>1.0</v>
      </c>
      <c r="C15" s="24" t="str">
        <v>Optional</v>
      </c>
      <c r="D15" s="10">
        <v>9.99</v>
      </c>
      <c r="E15" s="11">
        <f t="shared" si="1"/>
        <v>9.99</v>
      </c>
      <c r="F15" s="8" t="s">
        <v>22</v>
      </c>
      <c r="G15" s="8" t="s">
        <v>33</v>
      </c>
      <c r="H15" s="13" t="str">
        <f>HYPERLINK("https://www.amazon.com/dp/B01ERP6WL4","Amazon - ELEGOO Official US")</f>
        <v>Amazon - ELEGOO Official US</v>
      </c>
    </row>
    <row r="16">
      <c r="A16" s="8" t="s">
        <v>34</v>
      </c>
      <c r="B16" s="9">
        <v>1.0</v>
      </c>
      <c r="C16" s="8" t="s">
        <v>21</v>
      </c>
      <c r="D16" s="10">
        <v>26.97</v>
      </c>
      <c r="E16" s="11">
        <f t="shared" si="1"/>
        <v>26.97</v>
      </c>
      <c r="F16" s="8" t="s">
        <v>22</v>
      </c>
      <c r="G16" s="8" t="s">
        <v>35</v>
      </c>
      <c r="H16" s="12" t="str">
        <f>HYPERLINK("https://store.rokland.com/products/alfa-awus036acs-802-11ac-ac600-dual-band-wifi-usb-adapter-rp-sma","Rokland — ALFA AWUS036ACS")</f>
        <v>Rokland — ALFA AWUS036ACS</v>
      </c>
    </row>
    <row r="17">
      <c r="A17" s="8" t="s">
        <v>36</v>
      </c>
      <c r="B17" s="9">
        <v>1.0</v>
      </c>
      <c r="C17" s="8" t="s">
        <v>37</v>
      </c>
      <c r="D17" s="10">
        <v>0.0</v>
      </c>
      <c r="E17" s="11">
        <f t="shared" si="1"/>
        <v>0</v>
      </c>
      <c r="F17" s="8" t="s">
        <v>38</v>
      </c>
      <c r="G17" s="8" t="s">
        <v>39</v>
      </c>
      <c r="H17" s="12" t="str">
        <f>HYPERLINK("https://www.amazon.com/dp/B0C2T6DP5J","Your Amazon board")</f>
        <v>Your Amazon board</v>
      </c>
    </row>
    <row r="18">
      <c r="A18" s="8" t="s">
        <v>40</v>
      </c>
      <c r="B18" s="9">
        <v>1.0</v>
      </c>
      <c r="C18" s="8" t="s">
        <v>37</v>
      </c>
      <c r="D18" s="10">
        <v>0.0</v>
      </c>
      <c r="E18" s="11">
        <f t="shared" si="1"/>
        <v>0</v>
      </c>
      <c r="F18" s="8" t="s">
        <v>38</v>
      </c>
      <c r="G18" s="8" t="s">
        <v>41</v>
      </c>
      <c r="H18" s="13" t="str">
        <f>HYPERLINK("https://www.pishop.us/product/raspberry-pi-zero-2-w/","PiShop - Zero 2 W reference")</f>
        <v>PiShop - Zero 2 W reference</v>
      </c>
    </row>
    <row r="19" ht="78" customHeight="1">
      <c r="A19" s="8" t="s">
        <v>42</v>
      </c>
      <c r="B19" s="9">
        <v>2.0</v>
      </c>
      <c r="C19" s="8" t="s">
        <v>43</v>
      </c>
      <c r="D19" s="10">
        <v>4.95</v>
      </c>
      <c r="E19" s="11">
        <f t="shared" si="1"/>
        <v>9.9</v>
      </c>
      <c r="F19" s="8" t="s">
        <v>22</v>
      </c>
      <c r="G19" s="24" t="str">
        <v>Intact USB-A to USB-C cables for ESP32 power/programming and Chameleon as needed. Main-device power stays off the carrier; do not cut these into PCB pigtails. Reuse owned cables if suitable.</v>
      </c>
      <c r="H19" s="13" t="str">
        <f>HYPERLINK("https://www.adafruit.com/product/4474","Adafruit - USB-C data cable")</f>
        <v>Adafruit - USB-C data cable</v>
      </c>
    </row>
    <row r="20">
      <c r="A20" s="8" t="s">
        <v>45</v>
      </c>
      <c r="B20" s="9">
        <v>1.0</v>
      </c>
      <c r="C20" s="8" t="s">
        <v>46</v>
      </c>
      <c r="D20" s="10">
        <v>6.9</v>
      </c>
      <c r="E20" s="11">
        <f t="shared" si="1"/>
        <v>6.9</v>
      </c>
      <c r="F20" s="8" t="s">
        <v>22</v>
      </c>
      <c r="G20" s="8" t="s">
        <v>47</v>
      </c>
      <c r="H20" s="13" t="str">
        <f>HYPERLINK("https://www.amazon.com/dp/B0CPJ3XCMR","Amazon - TimesKey-US")</f>
        <v>Amazon - TimesKey-US</v>
      </c>
    </row>
    <row r="21">
      <c r="A21" s="8" t="s">
        <v>48</v>
      </c>
      <c r="B21" s="9">
        <v>1.0</v>
      </c>
      <c r="C21" s="8" t="s">
        <v>46</v>
      </c>
      <c r="D21" s="10">
        <v>7.99</v>
      </c>
      <c r="E21" s="11">
        <f t="shared" si="1"/>
        <v>7.99</v>
      </c>
      <c r="F21" s="8" t="s">
        <v>22</v>
      </c>
      <c r="G21" s="8" t="s">
        <v>49</v>
      </c>
      <c r="H21" s="13" t="str">
        <f>HYPERLINK("https://www.amazon.com/dp/B07GBSP8SD","Amazon - ETEKJOY")</f>
        <v>Amazon - ETEKJOY</v>
      </c>
    </row>
    <row r="22">
      <c r="A22" s="8" t="s">
        <v>50</v>
      </c>
      <c r="B22" s="9">
        <v>1.0</v>
      </c>
      <c r="C22" s="8" t="s">
        <v>46</v>
      </c>
      <c r="D22" s="10">
        <v>9.99</v>
      </c>
      <c r="E22" s="11">
        <f t="shared" si="1"/>
        <v>9.99</v>
      </c>
      <c r="F22" s="8" t="s">
        <v>22</v>
      </c>
      <c r="G22" s="8" t="s">
        <v>51</v>
      </c>
      <c r="H22" s="13" t="str">
        <f>HYPERLINK("https://www.amazon.com/dp/B09BW4R8NS","Amazon - smacarte / Gialer")</f>
        <v>Amazon - smacarte / Gialer</v>
      </c>
    </row>
    <row r="23" ht="78" customHeight="1">
      <c r="A23" s="8" t="s">
        <v>52</v>
      </c>
      <c r="B23" s="9">
        <v>1.0</v>
      </c>
      <c r="C23" s="8" t="s">
        <v>21</v>
      </c>
      <c r="D23" s="10">
        <v>31.99</v>
      </c>
      <c r="E23" s="11">
        <f t="shared" si="1"/>
        <v>31.99</v>
      </c>
      <c r="F23" s="8" t="s">
        <v>22</v>
      </c>
      <c r="G23" s="24" t="str">
        <v>HDMI LCD powered separately from a USB bank, with connector/pinout and suitable power lead still to confirm for the exact display. No carrier power output. HDMI video and SPI touch connections remain as specified.</v>
      </c>
      <c r="H23" s="13" t="str">
        <f>HYPERLINK("https://www.waveshare.com/3.5inch-HDMI-LCD.htm","Waveshare - 3.5in HDMI LCD")</f>
        <v>Waveshare - 3.5in HDMI LCD</v>
      </c>
    </row>
    <row r="24" ht="78" customHeight="1">
      <c r="A24" s="8" t="s">
        <v>54</v>
      </c>
      <c r="B24" s="9">
        <v>1.0</v>
      </c>
      <c r="C24" s="8" t="s">
        <v>21</v>
      </c>
      <c r="D24" s="10">
        <v>7.95</v>
      </c>
      <c r="E24" s="11">
        <f t="shared" si="1"/>
        <v>7.95</v>
      </c>
      <c r="F24" s="8" t="s">
        <v>22</v>
      </c>
      <c r="G24" s="24" t="str">
        <v>CardKB v1.1: 5 V supply; ESP32 I2C through assembled Adafruit 757. Mechanical drawing: 84 x 54 mm; product table: 88 x 54 x 5 mm. Reserve 88 x 54; measure before printing the cradle. Grove cable included.</v>
      </c>
      <c r="H24" s="13" t="str">
        <f>HYPERLINK("https://shop.m5stack.com/products/cardkb-mini-keyboard-programmable-unit-v1-1-mega8a","M5Stack — CardKB v1.1")</f>
        <v>M5Stack — CardKB v1.1</v>
      </c>
    </row>
    <row r="25" ht="78" customHeight="1">
      <c r="A25" s="8" t="s">
        <v>56</v>
      </c>
      <c r="B25" s="9">
        <v>1.0</v>
      </c>
      <c r="C25" s="8" t="s">
        <v>43</v>
      </c>
      <c r="D25" s="10">
        <f>SUM(E45:E46)</f>
        <v>8.9</v>
      </c>
      <c r="E25" s="11">
        <f t="shared" si="1"/>
        <v>8.9</v>
      </c>
      <c r="F25" s="8" t="s">
        <v>57</v>
      </c>
      <c r="G25" s="24" t="str">
        <v>Mini-HDMI cable plus intact micro-USB Pi power cable (rows 45-46). Pi power connects directly to a USB bank, not carrier pads. Reuse suitable owned cables; GPIO header is in row 29 kit.</v>
      </c>
      <c r="H25" s="8" t="s">
        <v>59</v>
      </c>
    </row>
    <row r="26" ht="78" customHeight="1">
      <c r="A26" s="8" t="s">
        <v>60</v>
      </c>
      <c r="B26" s="9">
        <v>1.0</v>
      </c>
      <c r="C26" s="8" t="s">
        <v>21</v>
      </c>
      <c r="D26" s="10">
        <v>19.97</v>
      </c>
      <c r="E26" s="11">
        <f t="shared" si="1"/>
        <v>19.97</v>
      </c>
      <c r="F26" s="8" t="s">
        <v>22</v>
      </c>
      <c r="G26" s="24" t="str">
        <v>One pack = two 10,000 mAh / 37 Wh banks. Each bank: 5 V, 2.4 A TOTAL shared output limit, not per port. Use separate USB feeds; never parallel bank outputs. Combined load, auto-shutoff and runtime need bench validation.</v>
      </c>
      <c r="H26" s="13" t="str">
        <f>HYPERLINK("https://www.amazon.com/dp/B0GQH1QHDH","Amazon — Miady 2-pack")</f>
        <v>Amazon — Miady 2-pack</v>
      </c>
    </row>
    <row r="27">
      <c r="A27" s="8" t="s">
        <v>62</v>
      </c>
      <c r="B27" s="9">
        <v>1.0</v>
      </c>
      <c r="C27" s="8" t="s">
        <v>46</v>
      </c>
      <c r="D27" s="10">
        <v>20.62</v>
      </c>
      <c r="E27" s="11">
        <f t="shared" si="1"/>
        <v>20.62</v>
      </c>
      <c r="F27" s="8" t="s">
        <v>22</v>
      </c>
      <c r="G27" s="8" t="s">
        <v>63</v>
      </c>
      <c r="H27" s="13" t="str">
        <f>HYPERLINK("https://www.amazon.com/dp/B08L5HMJVW","Amazon - eKings / SanDisk")</f>
        <v>Amazon - eKings / SanDisk</v>
      </c>
    </row>
    <row r="28">
      <c r="A28" s="8" t="s">
        <v>64</v>
      </c>
      <c r="B28" s="9">
        <v>1.0</v>
      </c>
      <c r="C28" s="8" t="s">
        <v>46</v>
      </c>
      <c r="D28" s="10">
        <v>8.25</v>
      </c>
      <c r="E28" s="11">
        <f t="shared" si="1"/>
        <v>8.25</v>
      </c>
      <c r="F28" s="8" t="s">
        <v>22</v>
      </c>
      <c r="G28" s="8" t="s">
        <v>65</v>
      </c>
      <c r="H28" s="13" t="str">
        <f>HYPERLINK("https://www.adafruit.com/product/1995","Adafruit - micro-USB supply")</f>
        <v>Adafruit - micro-USB supply</v>
      </c>
    </row>
    <row r="29">
      <c r="A29" s="8" t="s">
        <v>66</v>
      </c>
      <c r="B29" s="9">
        <v>1.0</v>
      </c>
      <c r="C29" s="8" t="s">
        <v>43</v>
      </c>
      <c r="D29" s="10">
        <v>6.95</v>
      </c>
      <c r="E29" s="11">
        <f t="shared" si="1"/>
        <v>6.95</v>
      </c>
      <c r="F29" s="8" t="s">
        <v>22</v>
      </c>
      <c r="G29" s="8" t="s">
        <v>67</v>
      </c>
      <c r="H29" s="13" t="str">
        <f>HYPERLINK("https://www.pishop.us/product/raspberry-pi-zero-adapter-kit/","PiShop - Zero adapter kit")</f>
        <v>PiShop - Zero adapter kit</v>
      </c>
    </row>
    <row r="30">
      <c r="A30" s="8" t="s">
        <v>68</v>
      </c>
      <c r="B30" s="9">
        <v>1.0</v>
      </c>
      <c r="C30" s="8" t="s">
        <v>46</v>
      </c>
      <c r="D30" s="10">
        <f>E47</f>
        <v>4.99</v>
      </c>
      <c r="E30" s="11">
        <f t="shared" si="1"/>
        <v>4.99</v>
      </c>
      <c r="F30" s="8" t="s">
        <v>69</v>
      </c>
      <c r="G30" s="8" t="s">
        <v>70</v>
      </c>
      <c r="H30" s="8" t="s">
        <v>71</v>
      </c>
    </row>
    <row r="31" ht="78" customHeight="1">
      <c r="A31" s="8" t="s">
        <v>72</v>
      </c>
      <c r="B31" s="9">
        <v>1.0</v>
      </c>
      <c r="C31" s="8" t="s">
        <v>21</v>
      </c>
      <c r="D31" s="10">
        <v>9.99</v>
      </c>
      <c r="E31" s="11">
        <f t="shared" si="1"/>
        <v>9.99</v>
      </c>
      <c r="F31" s="8" t="s">
        <v>73</v>
      </c>
      <c r="G31" s="24" t="str">
        <v>M3 fits carrier/frame 3.2 mm holes, not Pi. Kit lengths 6/10/15/20 mm. Use insulating washers/spacers beneath metal fastener surfaces. Confirm height and head/hex within 6 mm reserve; brass conducts.</v>
      </c>
      <c r="H31" s="13" t="str">
        <f>HYPERLINK("https://www.amazon.com/dp/B0FBMFBQHQ","Amazon - EEEEE M3 kit")</f>
        <v>Amazon - EEEEE M3 kit</v>
      </c>
    </row>
    <row r="32">
      <c r="A32" s="8" t="s">
        <v>75</v>
      </c>
      <c r="B32" s="9">
        <v>4.0</v>
      </c>
      <c r="C32" s="8" t="s">
        <v>43</v>
      </c>
      <c r="D32" s="10">
        <v>0.79</v>
      </c>
      <c r="E32" s="11">
        <f t="shared" si="1"/>
        <v>3.16</v>
      </c>
      <c r="F32" s="8" t="s">
        <v>76</v>
      </c>
      <c r="G32" s="8" t="s">
        <v>77</v>
      </c>
      <c r="H32" s="13" t="str">
        <f>HYPERLINK("https://www.digikey.com/en/products/detail/kemet/C315C104K5R5TA/12701330","DigiKey - KEMET 100 nF")</f>
        <v>DigiKey - KEMET 100 nF</v>
      </c>
    </row>
    <row r="33">
      <c r="A33" s="8" t="s">
        <v>78</v>
      </c>
      <c r="B33" s="9">
        <v>4.0</v>
      </c>
      <c r="C33" s="8" t="s">
        <v>43</v>
      </c>
      <c r="D33" s="10">
        <v>0.34</v>
      </c>
      <c r="E33" s="11">
        <f t="shared" si="1"/>
        <v>1.36</v>
      </c>
      <c r="F33" s="8" t="s">
        <v>76</v>
      </c>
      <c r="G33" s="8" t="s">
        <v>79</v>
      </c>
      <c r="H33" s="13" t="str">
        <f>HYPERLINK("https://www.digikey.com/en/products/detail/panasonic-industry/EEA-GA1V100/2504583","DigiKey - Panasonic 10 uF")</f>
        <v>DigiKey - Panasonic 10 uF</v>
      </c>
    </row>
    <row r="34" ht="78" customHeight="1">
      <c r="A34" s="8" t="s">
        <v>80</v>
      </c>
      <c r="B34" s="9">
        <v>1.0</v>
      </c>
      <c r="C34" s="8" t="s">
        <v>21</v>
      </c>
      <c r="D34" s="10">
        <f>E48</f>
        <v>9.99</v>
      </c>
      <c r="E34" s="11">
        <f t="shared" si="1"/>
        <v>9.99</v>
      </c>
      <c r="F34" s="8" t="s">
        <v>73</v>
      </c>
      <c r="G34" s="24" t="str">
        <v>M2.5 nylon hardware for Pi 2.75 mm and HAT 3.0 mm holes. HAT3/HAT4 head/hex/body OD &lt;=5.5 mm beside header slot. Choose spacer height after measuring pins, USB plug and keyboard/Chameleon clearance.</v>
      </c>
      <c r="H34" s="13" t="str">
        <f>HYPERLINK("https://www.amazon.com/dp/B0FPMC9917","Amazon - M2.5 nylon kit")</f>
        <v>Amazon - M2.5 nylon kit</v>
      </c>
    </row>
    <row r="35">
      <c r="A35" s="8"/>
      <c r="B35" s="9"/>
      <c r="C35" s="8"/>
      <c r="D35" s="10"/>
      <c r="E35" s="11"/>
      <c r="F35" s="8"/>
      <c r="G35" s="8"/>
      <c r="H35" s="13"/>
    </row>
    <row r="36" ht="78" customHeight="1">
      <c r="A36" s="8" t="s">
        <v>84</v>
      </c>
      <c r="B36" s="9">
        <v>1.0</v>
      </c>
      <c r="C36" s="8" t="s">
        <v>21</v>
      </c>
      <c r="D36" s="10">
        <v>5.95</v>
      </c>
      <c r="E36" s="11">
        <f t="shared" si="1"/>
        <v>5.95</v>
      </c>
      <c r="F36" s="8" t="s">
        <v>22</v>
      </c>
      <c r="G36" s="24" t="str">
        <v>IR emitter/receiver remain off-board on wires at the left edge, powered by external regulated 3V3_AUX. Direct ESP32 signals; verify total radio/IR peak load and use common ground. Existing jumpers may be reused.</v>
      </c>
      <c r="H36" s="13" t="str">
        <f>HYPERLINK("https://www.adafruit.com/product/5990","Adafruit - IR transceiver 5990")</f>
        <v>Adafruit - IR transceiver 5990</v>
      </c>
    </row>
    <row r="37">
      <c r="A37" s="2" t="s">
        <v>86</v>
      </c>
    </row>
    <row r="38">
      <c r="A38" s="2" t="s">
        <v>87</v>
      </c>
      <c r="B38" s="2" t="s">
        <v>88</v>
      </c>
    </row>
    <row r="39">
      <c r="A39" s="2" t="s">
        <v>89</v>
      </c>
      <c r="B39" s="2" t="s">
        <v>90</v>
      </c>
    </row>
    <row r="40">
      <c r="A40" s="2" t="s">
        <v>91</v>
      </c>
      <c r="B40" s="14" t="str">
        <f>HYPERLINK("https://github.com/RfidResearchGroup/ChameleonUltra","Chameleon Ultra firmware &amp; documentation")</f>
        <v>Chameleon Ultra firmware &amp; documentation</v>
      </c>
    </row>
    <row r="41">
      <c r="A41" s="2" t="s">
        <v>92</v>
      </c>
      <c r="B41" s="14" t="str">
        <f>HYPERLINK("https://github.com/Xinyuan-LilyGO/T-Display-S3-AMOLED","LILYGO T-Display-S3 AMOLED")</f>
        <v>LILYGO T-Display-S3 AMOLED</v>
      </c>
    </row>
    <row r="42">
      <c r="A42" s="2" t="s">
        <v>93</v>
      </c>
      <c r="B42" s="2" t="s">
        <v>94</v>
      </c>
    </row>
    <row r="43">
      <c r="A43" s="2" t="s">
        <v>95</v>
      </c>
    </row>
    <row r="44">
      <c r="A44" s="15" t="s">
        <v>12</v>
      </c>
      <c r="B44" s="15" t="s">
        <v>13</v>
      </c>
      <c r="C44" s="15" t="s">
        <v>96</v>
      </c>
      <c r="D44" s="15" t="s">
        <v>15</v>
      </c>
      <c r="E44" s="15" t="s">
        <v>16</v>
      </c>
      <c r="F44" s="15" t="s">
        <v>17</v>
      </c>
      <c r="G44" s="15" t="s">
        <v>18</v>
      </c>
      <c r="H44" s="15" t="s">
        <v>19</v>
      </c>
    </row>
    <row r="45">
      <c r="A45" s="8" t="s">
        <v>97</v>
      </c>
      <c r="B45" s="8">
        <v>1.0</v>
      </c>
      <c r="C45" s="8" t="s">
        <v>98</v>
      </c>
      <c r="D45" s="10">
        <v>5.95</v>
      </c>
      <c r="E45" s="11">
        <f t="shared" ref="E45:E48" si="2">B45*D45</f>
        <v>5.95</v>
      </c>
      <c r="F45" s="8" t="s">
        <v>22</v>
      </c>
      <c r="G45" s="8" t="s">
        <v>99</v>
      </c>
      <c r="H45" s="12" t="str">
        <f>HYPERLINK("https://www.adafruit.com/product/2775","Adafruit - mini-HDMI cable")</f>
        <v>Adafruit - mini-HDMI cable</v>
      </c>
    </row>
    <row r="46" ht="78" customHeight="1">
      <c r="A46" s="8" t="s">
        <v>100</v>
      </c>
      <c r="B46" s="8">
        <v>1.0</v>
      </c>
      <c r="C46" s="8" t="s">
        <v>98</v>
      </c>
      <c r="D46" s="10">
        <v>2.95</v>
      </c>
      <c r="E46" s="11">
        <f t="shared" si="2"/>
        <v>2.95</v>
      </c>
      <c r="F46" s="8" t="s">
        <v>22</v>
      </c>
      <c r="G46" s="24" t="str">
        <v>Adafruit 898 intact USB-A to micro-USB cable, counted only in row 25. USB-A to power bank, micro-USB to Pi PWR IN. No cut cable or carrier power pads. Keep Pi-HAT USB data cable separate.</v>
      </c>
      <c r="H46" s="12" t="str">
        <f>HYPERLINK("https://www.adafruit.com/product/898","Adafruit - micro-USB cable")</f>
        <v>Adafruit - micro-USB cable</v>
      </c>
    </row>
    <row r="47">
      <c r="A47" s="8" t="s">
        <v>102</v>
      </c>
      <c r="B47" s="8">
        <v>1.0</v>
      </c>
      <c r="C47" s="8" t="s">
        <v>103</v>
      </c>
      <c r="D47" s="10">
        <v>4.99</v>
      </c>
      <c r="E47" s="11">
        <f t="shared" si="2"/>
        <v>4.99</v>
      </c>
      <c r="F47" s="8" t="s">
        <v>104</v>
      </c>
      <c r="G47" s="8" t="s">
        <v>105</v>
      </c>
      <c r="H47" s="12" t="str">
        <f>HYPERLINK("https://www.amazon.com/dp/B0DHKW8KFJ","Amazon - Raculety box")</f>
        <v>Amazon - Raculety box</v>
      </c>
    </row>
    <row r="48" ht="78" customHeight="1">
      <c r="A48" s="8" t="s">
        <v>80</v>
      </c>
      <c r="B48" s="8">
        <v>1.0</v>
      </c>
      <c r="C48" s="8" t="s">
        <v>106</v>
      </c>
      <c r="D48" s="10">
        <v>9.99</v>
      </c>
      <c r="E48" s="11">
        <f t="shared" si="2"/>
        <v>9.99</v>
      </c>
      <c r="F48" s="8" t="s">
        <v>73</v>
      </c>
      <c r="G48" s="24" t="str">
        <v>Counted in row 34 only. Four HAT spacers: head/hex/body OD &lt;=5.5 mm by the slot; M2.5 screws. Measure height for underside pins and USB plug plus clearance to keyboard and Chameleon.</v>
      </c>
      <c r="H48" s="12" t="str">
        <f>HYPERLINK("https://www.amazon.com/dp/B0FPMC9917","Amazon - AvrestYPT hardware")</f>
        <v>Amazon - AvrestYPT hardware</v>
      </c>
    </row>
    <row r="50" ht="25" customHeight="1">
      <c r="A50" s="16" t="str">
        <v>RETAINED FOUR-PORT USB HAT</v>
      </c>
      <c r="B50" s="16"/>
      <c r="C50" s="16"/>
      <c r="D50" s="16"/>
      <c r="E50" s="16"/>
      <c r="F50" s="16"/>
      <c r="G50" s="16"/>
      <c r="H50" s="16"/>
    </row>
    <row r="51" ht="30" customHeight="1">
      <c r="A51" s="17" t="inlineStr">
        <is>
          <t>Part / purchase unit</t>
        </is>
      </c>
      <c r="B51" s="17" t="inlineStr">
        <is>
          <t>Qty</t>
        </is>
      </c>
      <c r="C51" s="17" t="inlineStr">
        <is>
          <t>Status</t>
        </is>
      </c>
      <c r="D51" s="17" t="inlineStr">
        <is>
          <t>Unit USD</t>
        </is>
      </c>
      <c r="E51" s="17" t="inlineStr">
        <is>
          <t>Line USD</t>
        </is>
      </c>
      <c r="F51" s="17" t="inlineStr">
        <is>
          <t>Price basis</t>
        </is>
      </c>
      <c r="G51" s="17" t="inlineStr">
        <is>
          <t>Role / compatibility notes</t>
        </is>
      </c>
      <c r="H51" s="17" t="inlineStr">
        <is>
          <t>Source</t>
        </is>
      </c>
    </row>
    <row r="52" ht="78" customHeight="1">
      <c r="A52" s="18" t="str">
        <v>Waveshare USB HUB HAT - 4 ports (SKU12694, owned)</v>
      </c>
      <c r="B52" s="19" t="n">
        <v>1</v>
      </c>
      <c r="C52" s="18" t="str">
        <v>Owned</v>
      </c>
      <c r="D52" s="20" t="str">
        <v>TBD</v>
      </c>
      <c r="E52" s="20" t="str">
        <v>TBD</v>
      </c>
      <c r="F52" s="18" t="str">
        <v>Retained hardware; prior price unverified</v>
      </c>
      <c r="G52" s="18" t="str">
        <v>Owned Waveshare USB HUB HAT: four USB ports, no Ethernet. Mount beneath keyboard beside Pi; upstream micro-USB data cable supplies HAT power from Pi. Do not add a parallel HAT 5 V supply. Keep measured slot/standoff clearances.</v>
      </c>
      <c r="H52" s="21" t="str">
        <f>HYPERLINK("https://www.waveshare.com/usb-hub-hat.htm","Waveshare USB HUB HAT")</f>
        <v>Waveshare USB HUB HAT</v>
      </c>
    </row>
    <row r="53" ht="90" customHeight="1">
      <c r="A53" s="18" t="str">
        <v>Short USB 2.0 micro-USB host/OTG-to-micro-USB data cable</v>
      </c>
      <c r="B53" s="19" t="n">
        <v>1</v>
      </c>
      <c r="C53" s="8" t="str">
        <v>If needed</v>
      </c>
      <c r="D53" s="10" t="str">
        <v>TBD</v>
      </c>
      <c r="E53" s="11" t="str">
        <f>IF(ISNUMBER(D53),B53*D53,"TBD")</f>
        <v>TBD</v>
      </c>
      <c r="F53" s="18" t="str">
        <v>Generic cable; product and price TBD</v>
      </c>
      <c r="G53" s="18" t="str">
        <v>Pi USB/data port to HAT USB HUB input. All four power/data conductors; host/OTG-compatible Pi end. Length and plug orientation TBD after fit. Alternative: reuse the included USB-A-to-micro-USB cable with a micro-USB OTG adapter. Choose one solution only; no duplicate cable budget. Existing row46 remains the Pi power cable.</v>
      </c>
      <c r="H53" s="21" t="str">
        <f>HYPERLINK("https://www.waveshare.com/wiki/USB_HUB_HAT","Waveshare USB HUB guide")</f>
        <v>Waveshare USB HUB guide</v>
      </c>
    </row>
    <row r="55">
      <c r="A55" s="16" t="str">
        <v>PERIPHERAL POWER AND ROTARY CONTROL</v>
      </c>
      <c r="B55" s="16"/>
      <c r="C55" s="16"/>
      <c r="D55" s="16"/>
      <c r="E55" s="16"/>
      <c r="F55" s="16"/>
      <c r="G55" s="16"/>
      <c r="H55" s="16"/>
    </row>
    <row r="56">
      <c r="A56" s="17" t="str">
        <v>Part / purchase unit</v>
      </c>
      <c r="B56" s="17" t="str">
        <v>Qty</v>
      </c>
      <c r="C56" s="17" t="str">
        <v>Status</v>
      </c>
      <c r="D56" s="17" t="str">
        <v>Unit USD</v>
      </c>
      <c r="E56" s="17" t="str">
        <v>Line USD</v>
      </c>
      <c r="F56" s="17" t="str">
        <v>Price basis</v>
      </c>
      <c r="G56" s="17" t="str">
        <v>Role / compatibility notes</v>
      </c>
      <c r="H56" s="17" t="str">
        <v>Source</v>
      </c>
    </row>
    <row r="57" ht="60" customHeight="1">
      <c r="A57" s="28" t="str">
        <v>Adafruit 5880 I2C QT encoder (assembled)</v>
      </c>
      <c r="B57" s="29" t="n">
        <v>1</v>
      </c>
      <c r="C57" s="28" t="str">
        <v>Selected</v>
      </c>
      <c r="D57" s="30" t="n">
        <v>7.95</v>
      </c>
      <c r="E57" s="30" t="n">
        <f>IF(ISNUMBER(D57),B57*D57,"TBD")</f>
        <v>7.95</v>
      </c>
      <c r="F57" s="28" t="str">
        <v>Adafruit 2026-10-02</v>
      </c>
      <c r="G57" s="28" t="str">
        <v>Case-mounted 25.4 x 25.4 mm module with push switch. I2C 0x36; ESP3V3 supply, GPIO1 SDA, GPIO41 SCL. Cable and knob sold separately.</v>
      </c>
      <c r="H57" s="31" t="str">
        <f>HYPERLINK("https://www.adafruit.com/product/5880","Adafruit - encoder 5880")</f>
        <v>Adafruit - encoder 5880</v>
      </c>
    </row>
    <row r="58" ht="60" customHeight="1">
      <c r="A58" s="28" t="str">
        <v>Adafruit 4397 QT to female 2.54 mm cable</v>
      </c>
      <c r="B58" s="29" t="n">
        <v>1</v>
      </c>
      <c r="C58" s="28" t="str">
        <v>Selected</v>
      </c>
      <c r="D58" s="30" t="n">
        <v>0.95</v>
      </c>
      <c r="E58" s="30" t="n">
        <f>IF(ISNUMBER(D58),B58*D58,"TBD")</f>
        <v>0.95</v>
      </c>
      <c r="F58" s="28" t="str">
        <v>Adafruit 2026-10-02</v>
      </c>
      <c r="G58" s="28" t="str">
        <v>150 mm cable to JP8 male header: 1 GND black; 2 ESP3V3 red; 3 SDA blue; 4 SCL yellow. Check orientation; provide strain relief.</v>
      </c>
      <c r="H58" s="31" t="str">
        <f>HYPERLINK("https://www.adafruit.com/product/4397","Adafruit - QT cable 4397")</f>
        <v>Adafruit - QT cable 4397</v>
      </c>
    </row>
    <row r="59" ht="60" customHeight="1">
      <c r="A59" s="28" t="str">
        <v>Adafruit 5093 slim D-shaft knob</v>
      </c>
      <c r="B59" s="29" t="n">
        <v>1</v>
      </c>
      <c r="C59" s="28" t="str">
        <v>Optional</v>
      </c>
      <c r="D59" s="30" t="n">
        <v>0.75</v>
      </c>
      <c r="E59" s="30" t="n">
        <f>IF(ISNUMBER(D59),B59*D59,"TBD")</f>
        <v>0.75</v>
      </c>
      <c r="F59" s="28" t="str">
        <v>Adafruit 2026-10-02</v>
      </c>
      <c r="G59" s="28" t="str">
        <v>11.5 mm diameter x 14.5 mm tall. Optional knob for the preassembled encoder; not included with 5880.</v>
      </c>
      <c r="H59" s="31" t="str">
        <f>HYPERLINK("https://www.adafruit.com/product/5093","Adafruit - knob 5093")</f>
        <v>Adafruit - knob 5093</v>
      </c>
    </row>
    <row r="60" ht="60" customHeight="1">
      <c r="A60" s="28" t="str">
        <v>Pololu 2830 D24V10F3 assembled 3.3 V regulator</v>
      </c>
      <c r="B60" s="29" t="n">
        <v>1</v>
      </c>
      <c r="C60" s="28" t="str">
        <v>Selected</v>
      </c>
      <c r="D60" s="30" t="n">
        <v>12.95</v>
      </c>
      <c r="E60" s="30" t="n">
        <f>IF(ISNUMBER(D60),B60*D60,"TBD")</f>
        <v>12.95</v>
      </c>
      <c r="F60" s="28" t="str">
        <v>Pololu 2026-10-02</v>
      </c>
      <c r="G60" s="28" t="str">
        <v>External module: 5 V USB input to regulated 3V3_AUX for radios/IR; separate from ESP3V3. Typical 1 A is thermal-limited; combined peak load needs testing. Includes straight/right-angle headers. No loose SMD soldering. Backorders allowed.</v>
      </c>
      <c r="H60" s="31" t="str">
        <f>HYPERLINK("https://www.pololu.com/product/2830","Pololu - D24V10F3")</f>
        <v>Pololu - D24V10F3</v>
      </c>
    </row>
    <row r="61" ht="60" customHeight="1">
      <c r="A61" s="28" t="str">
        <v>Adafruit 757 assembled I2C level converter</v>
      </c>
      <c r="B61" s="29" t="n">
        <v>1</v>
      </c>
      <c r="C61" s="28" t="str">
        <v>Selected</v>
      </c>
      <c r="D61" s="30" t="n">
        <v>3.95</v>
      </c>
      <c r="E61" s="30" t="n">
        <f>IF(ISNUMBER(D61),B61*D61,"TBD")</f>
        <v>3.95</v>
      </c>
      <c r="F61" s="28" t="str">
        <v>Adafruit 2026-10-02</v>
      </c>
      <c r="G61" s="28" t="str">
        <v>LV=ESP3V3, HV=+5V_EXT, common GND; two channels for CardKB. Built-in 10k pullups replace Q1/Q2 and R5-R8. Includes two 6-pin header strips needing through-hole soldering. Other channels unused.</v>
      </c>
      <c r="H61" s="31" t="str">
        <f>HYPERLINK("https://www.adafruit.com/product/757","Adafruit - level converter 757")</f>
        <v>Adafruit - level converter 757</v>
      </c>
    </row>
    <row r="62" ht="60" customHeight="1">
      <c r="A62" s="28" t="str">
        <v>10 kohm axial through-hole resistor</v>
      </c>
      <c r="B62" s="29" t="n">
        <v>4</v>
      </c>
      <c r="C62" s="28" t="str">
        <v>Selected</v>
      </c>
      <c r="D62" s="30" t="str">
        <v>TBD</v>
      </c>
      <c r="E62" s="30" t="str">
        <f>IF(ISNUMBER(D62),B62*D62,"TBD")</f>
        <v>TBD</v>
      </c>
      <c r="F62" s="28" t="str">
        <v>Rating / quote TBD</v>
      </c>
      <c r="G62" s="28" t="str">
        <v>R1-R4 radio CSN pullups and CE pulldowns; nominal 1/4 W, 1%. Confirm body and lead span fit the carrier. Use suitable owned parts; do not assume an optional kit purchase covers these required resistors.</v>
      </c>
      <c r="H62" s="28" t="str">
        <v>Axial resistor selection pending</v>
      </c>
    </row>
    <row r="63" ht="60" customHeight="1">
      <c r="A63" s="28" t="str">
        <v>Male headers: 2 x 1x4 + 1 x 1x8, 2.54 mm</v>
      </c>
      <c r="B63" s="29" t="n">
        <v>1</v>
      </c>
      <c r="C63" s="28" t="str">
        <v>Selected</v>
      </c>
      <c r="D63" s="30" t="str">
        <v>TBD</v>
      </c>
      <c r="E63" s="30" t="str">
        <f>IF(ISNUMBER(D63),B63*D63,"TBD")</f>
        <v>TBD</v>
      </c>
      <c r="F63" s="28" t="str">
        <v>Generic / quote TBD</v>
      </c>
      <c r="G63" s="28" t="str">
        <v>One &gt;=16-pin strip/set for JP2 peripheral power, JP8 encoder and JP3 level-shifter harness. Reuse owned headers if suitable. Adafruit 757 includes its separate module headers; do not purchase those twice.</v>
      </c>
      <c r="H63" s="28" t="str">
        <v>Carrier header set</v>
      </c>
    </row>
    <row r="64" ht="60" customHeight="1">
      <c r="A64" s="28" t="str">
        <v>Eight-conductor female jumper harness</v>
      </c>
      <c r="B64" s="29" t="n">
        <v>1</v>
      </c>
      <c r="C64" s="28" t="str">
        <v>Selected</v>
      </c>
      <c r="D64" s="30" t="str">
        <v>TBD</v>
      </c>
      <c r="E64" s="30" t="str">
        <f>IF(ISNUMBER(D64),B64*D64,"TBD")</f>
        <v>TBD</v>
      </c>
      <c r="F64" s="28" t="str">
        <v>Generic / quote TBD</v>
      </c>
      <c r="G64" s="28" t="str">
        <v>JP3 1x8 to assembled 757: 1 GND, 2 ESP3V3, 3 +5V_EXT, 4 SDA_LV, 5 KB_SDA, 6 SCL_LV, 7 KB_SCL, 8 GND. Individual female ends may connect to the module two 6-pin strips. Verify order and strain relief.</v>
      </c>
      <c r="H64" s="28" t="str">
        <v>Level-shifter harness</v>
      </c>
    </row>
    <row r="65" ht="60" customHeight="1">
      <c r="A65" s="28" t="str">
        <v>External inline USB 5 V power switch</v>
      </c>
      <c r="B65" s="29" t="n">
        <v>1</v>
      </c>
      <c r="C65" s="28" t="str">
        <v>Selected</v>
      </c>
      <c r="D65" s="30" t="str">
        <v>TBD</v>
      </c>
      <c r="E65" s="30" t="str">
        <f>IF(ISNUMBER(D65),B65*D65,"TBD")</f>
        <v>TBD</v>
      </c>
      <c r="F65" s="28" t="str">
        <v>Product / rating TBD</v>
      </c>
      <c r="G65" s="28" t="str">
        <v>Peripheral supply only; not a Pi shutdown or all-device master. Select rating for measured input current. Direct SPI/IR and BSS138 do not isolate unpowered devices: power ESP/peripherals together or disconnect signal harness before separate powering.</v>
      </c>
      <c r="H65" s="28" t="str">
        <v>Inline USB switch selection pending</v>
      </c>
    </row>
    <row r="66" ht="60" customHeight="1">
      <c r="A66" s="28" t="str">
        <v>USB-A power lead to peripheral 5 V/GND wiring</v>
      </c>
      <c r="B66" s="29" t="n">
        <v>1</v>
      </c>
      <c r="C66" s="28" t="str">
        <v>Selected</v>
      </c>
      <c r="D66" s="30" t="str">
        <v>TBD</v>
      </c>
      <c r="E66" s="30" t="str">
        <f>IF(ISNUMBER(D66),B66*D66,"TBD")</f>
        <v>TBD</v>
      </c>
      <c r="F66" s="28" t="str">
        <v>Product / rating TBD</v>
      </c>
      <c r="G66" s="28" t="str">
        <v>Switched bank 5 V feeds CardKB and external Pololu VIN. JP2: 1 +5V_EXT, 2 GND, 3 regulated 3V3_AUX, 4 GND. Verify polarity, current rating and strain relief. Main Pi/ESP/display power cables stay intact and separate.</v>
      </c>
      <c r="H66" s="28" t="str">
        <v>Peripheral power lead selection pending</v>
      </c>
    </row>
    <row r="67" ht="60" customHeight="1">
      <c r="A67" s="28" t="str">
        <v>Hookup wire + heatshrink / strain relief</v>
      </c>
      <c r="B67" s="29" t="n">
        <v>1</v>
      </c>
      <c r="C67" s="28" t="str">
        <v>If needed</v>
      </c>
      <c r="D67" s="30" t="str">
        <v>TBD</v>
      </c>
      <c r="E67" s="30" t="str">
        <f>IF(ISNUMBER(D67),B67*D67,"TBD")</f>
        <v>TBD</v>
      </c>
      <c r="F67" s="28" t="str">
        <v>Reuse / quote TBD</v>
      </c>
      <c r="G67" s="28" t="str">
        <v>Low-voltage peripheral wiring and module harnesses only; secure and insulate the external regulator as needed. No main-device power pad pairs. Reuse suitable owned wire and insulation.</v>
      </c>
      <c r="H67" s="28" t="str">
        <v>Wire / strain relief pending</v>
      </c>
    </row>
    <row r="68" ht="60" customHeight="1">
      <c r="A68" s="28" t="str">
        <v>M3 + M2.5 nylon washer / spacer assortment</v>
      </c>
      <c r="B68" s="29" t="n">
        <v>1</v>
      </c>
      <c r="C68" s="28" t="str">
        <v>Selected</v>
      </c>
      <c r="D68" s="30" t="str">
        <v>TBD</v>
      </c>
      <c r="E68" s="30" t="str">
        <f>IF(ISNUMBER(D68),B68*D68,"TBD")</f>
        <v>TBD</v>
      </c>
      <c r="F68" s="28" t="str">
        <v>Size / quote TBD</v>
      </c>
      <c r="G68" s="28" t="str">
        <v>Insulate metal fastener contacts on both PCB faces, including Pi, keyboard and ESP32 frame mounts. HAT3/HAT4 washer/spacer/head/body OD &lt;=5.5 mm. Cover the metal contact area and confirm insulation thickness and fit.</v>
      </c>
      <c r="H68" s="28" t="str">
        <v>Insulating hardware selection pending</v>
      </c>
    </row>
    <row r="69" ht="60" customHeight="1">
      <c r="A69" s="28" t="str">
        <v>LCD external USB-source power lead</v>
      </c>
      <c r="B69" s="29" t="n">
        <v>1</v>
      </c>
      <c r="C69" s="28" t="str">
        <v>If needed</v>
      </c>
      <c r="D69" s="30" t="str">
        <v>TBD</v>
      </c>
      <c r="E69" s="30" t="str">
        <f>IF(ISNUMBER(D69),B69*D69,"TBD")</f>
        <v>TBD</v>
      </c>
      <c r="F69" s="28" t="str">
        <v>Connector / pinout TBD</v>
      </c>
      <c r="G69" s="28" t="str">
        <v>Exact display power connector/pinout remains to confirm. Connect a suitable intact lead from the USB bank to the required display power input; no carrier distribution. Reuse included/owned lead if confirmed. HDMI remains separate.</v>
      </c>
      <c r="H69" s="31" t="str">
        <f>HYPERLINK("https://www.waveshare.com/3.5inch-HDMI-LCD.htm","Waveshare - LCD reference")</f>
        <v>Waveshare - LCD reference</v>
      </c>
    </row>
  </sheetData>
  <autoFilter ref="$A$10:$H$36"/>
  <drawing ns1:id="rId1"/>
</worksheet>
</file>